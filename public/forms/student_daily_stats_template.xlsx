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C6254B0-DA39-49BC-A745-8C7902ABB91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สถิติ" sheetId="1" r:id="rId1"/>
  </sheets>
  <definedNames>
    <definedName name="_xlnm._FilterDatabase" localSheetId="0" hidden="1">สถิติ!$A$5:$K$28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OMbO+CNQGnmO+DlMR0dvFnIIFs+GhTJ7dO/Gz8vPFA="/>
    </ext>
  </extLst>
</workbook>
</file>

<file path=xl/calcChain.xml><?xml version="1.0" encoding="utf-8"?>
<calcChain xmlns="http://schemas.openxmlformats.org/spreadsheetml/2006/main">
  <c r="F26" i="1" l="1"/>
  <c r="E26" i="1"/>
  <c r="C26" i="1"/>
  <c r="B26" i="1"/>
  <c r="I25" i="1"/>
  <c r="H25" i="1"/>
  <c r="G25" i="1"/>
  <c r="D25" i="1"/>
  <c r="I24" i="1"/>
  <c r="H24" i="1"/>
  <c r="G24" i="1"/>
  <c r="D24" i="1"/>
  <c r="I23" i="1"/>
  <c r="I26" i="1" s="1"/>
  <c r="H23" i="1"/>
  <c r="J23" i="1" s="1"/>
  <c r="G23" i="1"/>
  <c r="D23" i="1"/>
  <c r="D26" i="1" s="1"/>
  <c r="F22" i="1"/>
  <c r="E22" i="1"/>
  <c r="C22" i="1"/>
  <c r="B22" i="1"/>
  <c r="I21" i="1"/>
  <c r="J21" i="1" s="1"/>
  <c r="H21" i="1"/>
  <c r="G21" i="1"/>
  <c r="D21" i="1"/>
  <c r="J20" i="1"/>
  <c r="I20" i="1"/>
  <c r="H20" i="1"/>
  <c r="G20" i="1"/>
  <c r="D20" i="1"/>
  <c r="I19" i="1"/>
  <c r="H19" i="1"/>
  <c r="J19" i="1" s="1"/>
  <c r="G19" i="1"/>
  <c r="D19" i="1"/>
  <c r="I18" i="1"/>
  <c r="H18" i="1"/>
  <c r="G18" i="1"/>
  <c r="D18" i="1"/>
  <c r="I17" i="1"/>
  <c r="H17" i="1"/>
  <c r="G17" i="1"/>
  <c r="D17" i="1"/>
  <c r="I16" i="1"/>
  <c r="J16" i="1" s="1"/>
  <c r="H16" i="1"/>
  <c r="H22" i="1" s="1"/>
  <c r="G16" i="1"/>
  <c r="D16" i="1"/>
  <c r="D22" i="1" s="1"/>
  <c r="G15" i="1"/>
  <c r="F15" i="1"/>
  <c r="E15" i="1"/>
  <c r="C15" i="1"/>
  <c r="D15" i="1" s="1"/>
  <c r="B15" i="1"/>
  <c r="I14" i="1"/>
  <c r="H14" i="1"/>
  <c r="J14" i="1" s="1"/>
  <c r="G14" i="1"/>
  <c r="D14" i="1"/>
  <c r="I13" i="1"/>
  <c r="H13" i="1"/>
  <c r="G13" i="1"/>
  <c r="D13" i="1"/>
  <c r="I12" i="1"/>
  <c r="H12" i="1"/>
  <c r="J12" i="1" s="1"/>
  <c r="G12" i="1"/>
  <c r="D12" i="1"/>
  <c r="F11" i="1"/>
  <c r="F27" i="1" s="1"/>
  <c r="E11" i="1"/>
  <c r="G11" i="1" s="1"/>
  <c r="C11" i="1"/>
  <c r="B11" i="1"/>
  <c r="B27" i="1" s="1"/>
  <c r="I10" i="1"/>
  <c r="I11" i="1" s="1"/>
  <c r="H10" i="1"/>
  <c r="J10" i="1" s="1"/>
  <c r="G10" i="1"/>
  <c r="D10" i="1"/>
  <c r="J24" i="1" l="1"/>
  <c r="D11" i="1"/>
  <c r="I15" i="1"/>
  <c r="J18" i="1"/>
  <c r="G22" i="1"/>
  <c r="I22" i="1"/>
  <c r="I27" i="1" s="1"/>
  <c r="J25" i="1"/>
  <c r="E27" i="1"/>
  <c r="G26" i="1"/>
  <c r="G27" i="1" s="1"/>
  <c r="J17" i="1"/>
  <c r="D27" i="1"/>
  <c r="H26" i="1"/>
  <c r="J26" i="1" s="1"/>
  <c r="C27" i="1"/>
  <c r="H11" i="1"/>
  <c r="J13" i="1"/>
  <c r="H15" i="1"/>
  <c r="J15" i="1" s="1"/>
  <c r="J22" i="1" l="1"/>
  <c r="J11" i="1"/>
  <c r="J27" i="1" s="1"/>
  <c r="H27" i="1"/>
</calcChain>
</file>

<file path=xl/sharedStrings.xml><?xml version="1.0" encoding="utf-8"?>
<sst xmlns="http://schemas.openxmlformats.org/spreadsheetml/2006/main" count="51" uniqueCount="44">
  <si>
    <t>สถิตินักเรียนมาเรียนประจำวัน</t>
  </si>
  <si>
    <t>โรงเรียนนิมิตศึกษา       อำเภอไพศาลี      จังหวัดนครสวรรค์</t>
  </si>
  <si>
    <t>ระดับชั้น/ห้องเรียน</t>
  </si>
  <si>
    <t>จำนวนนักเรียนเต็ม</t>
  </si>
  <si>
    <t xml:space="preserve">จำนวนนักเรียน </t>
  </si>
  <si>
    <t>จำนวนนักเรียน</t>
  </si>
  <si>
    <t>หมายเหตุ</t>
  </si>
  <si>
    <t>เต็มตามบัญชีเรียกชื่อ</t>
  </si>
  <si>
    <t xml:space="preserve"> มาเรียน</t>
  </si>
  <si>
    <t>ไม่มาเรียน</t>
  </si>
  <si>
    <t>ชาย</t>
  </si>
  <si>
    <t>หญิง</t>
  </si>
  <si>
    <t>รวม</t>
  </si>
  <si>
    <t>(รายชื่อนักเรียนไม่มาเรียน)</t>
  </si>
  <si>
    <t>เตรียมอนุบาล</t>
  </si>
  <si>
    <t>ไม่เตรียมอนุบาล</t>
  </si>
  <si>
    <t>รวมเตรียมอนุบาล</t>
  </si>
  <si>
    <t>อ.1</t>
  </si>
  <si>
    <t>อ.2</t>
  </si>
  <si>
    <t>อ.3</t>
  </si>
  <si>
    <t>รวมก่อนประถมศึกษา</t>
  </si>
  <si>
    <t>ป.1</t>
  </si>
  <si>
    <t>ป.2</t>
  </si>
  <si>
    <t>ป.3</t>
  </si>
  <si>
    <t>ป.4</t>
  </si>
  <si>
    <t>ป.5</t>
  </si>
  <si>
    <t>ป.6</t>
  </si>
  <si>
    <t>รวมประถมศึกษา</t>
  </si>
  <si>
    <t>ม.1</t>
  </si>
  <si>
    <t>ม.2</t>
  </si>
  <si>
    <t>ม.3</t>
  </si>
  <si>
    <t>รวมมัธยมศึกษาตอนต้น</t>
  </si>
  <si>
    <t>รวมทั้งสิ้น</t>
  </si>
  <si>
    <t xml:space="preserve">หมายเหตุ                   </t>
  </si>
  <si>
    <t>ลงชื่อ...............................................................ผู้รวบรวม</t>
  </si>
  <si>
    <t xml:space="preserve">           ลงชื่อ.....................................................ผู้อำนวยการโรงเรียน</t>
  </si>
  <si>
    <t xml:space="preserve">                                   (   นางศศิธร    มีสมสืบ  )</t>
  </si>
  <si>
    <t>ช.ภาคิณ  จั่นทองคำ , ช.ชยางกูร เมฆคำพันธ์</t>
  </si>
  <si>
    <t>ประจำวัน .…จันทร์... วันที่ …12…  เดือน …ตุลาคม... พ.ศ. ..... 2569 ……..</t>
  </si>
  <si>
    <t xml:space="preserve">ญ.นุชรดี  บุญคุ้ม </t>
  </si>
  <si>
    <t xml:space="preserve">                                     ( นางสาวเบญจวรรณ   เจิมแหล่ )</t>
  </si>
  <si>
    <t>ญ.ณัฐณิชา ศิริคง</t>
  </si>
  <si>
    <t>ญ.กัญญานัฐ   คงเมือง</t>
  </si>
  <si>
    <t>ช.ไอศูนย์   เฟื่องจันทร์,ช.วรวิทย์   วงศสุวรรณ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</si>
</sst>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b/>
      <sz val="18"/>
      <color theme="1"/>
      <name val="Angsana New"/>
    </font>
    <font>
      <sz val="16"/>
      <color theme="1"/>
      <name val="Tahoma"/>
    </font>
    <font>
      <b/>
      <sz val="16"/>
      <color theme="1"/>
      <name val="Angsana New"/>
    </font>
    <font>
      <sz val="11"/>
      <name val="Calibri"/>
    </font>
    <font>
      <sz val="16"/>
      <color theme="1"/>
      <name val="Angsana New"/>
    </font>
    <font>
      <sz val="11"/>
      <color theme="1"/>
      <name val="Angsana New"/>
    </font>
    <font>
      <sz val="11"/>
      <color rgb="FF000000"/>
      <name val="Angsana New"/>
    </font>
    <font>
      <b/>
      <sz val="16"/>
      <color rgb="FFFF0000"/>
      <name val="Angsana New"/>
    </font>
    <font>
      <b/>
      <sz val="10"/>
      <color theme="1"/>
      <name val="Angsana New"/>
    </font>
    <font>
      <b/>
      <sz val="15"/>
      <color theme="1"/>
      <name val="Angsana New"/>
    </font>
    <font>
      <b/>
      <sz val="10"/>
      <color rgb="FFFF0000"/>
      <name val="Angsana New"/>
    </font>
    <font>
      <sz val="20"/>
      <color theme="1"/>
      <name val="Angsana New"/>
    </font>
    <font>
      <sz val="11"/>
      <color theme="1"/>
      <name val="Tahoma"/>
    </font>
    <font>
      <sz val="20"/>
      <color theme="1"/>
      <name val="Sarabu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2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9" fillId="0" borderId="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/>
    <xf numFmtId="0" fontId="4" fillId="0" borderId="9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zoomScale="140" zoomScaleNormal="140" workbookViewId="0">
      <selection activeCell="L17" sqref="L17"/>
    </sheetView>
  </sheetViews>
  <sheetFormatPr defaultColWidth="14.42578125" defaultRowHeight="15" customHeight="1"/>
  <cols>
    <col min="1" max="1" width="18.5703125" customWidth="1"/>
    <col min="2" max="10" width="6.140625" customWidth="1"/>
    <col min="11" max="11" width="35.7109375" customWidth="1"/>
    <col min="12" max="13" width="9" customWidth="1"/>
    <col min="14" max="26" width="8.7109375" customWidth="1"/>
  </cols>
  <sheetData>
    <row r="1" spans="1:26" ht="21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>
      <c r="A3" s="28" t="s">
        <v>38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>
      <c r="A5" s="31" t="s">
        <v>2</v>
      </c>
      <c r="B5" s="34" t="s">
        <v>3</v>
      </c>
      <c r="C5" s="35"/>
      <c r="D5" s="36"/>
      <c r="E5" s="34" t="s">
        <v>4</v>
      </c>
      <c r="F5" s="35"/>
      <c r="G5" s="36"/>
      <c r="H5" s="34" t="s">
        <v>5</v>
      </c>
      <c r="I5" s="35"/>
      <c r="J5" s="36"/>
      <c r="K5" s="37" t="s">
        <v>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>
      <c r="A6" s="32"/>
      <c r="B6" s="38" t="s">
        <v>7</v>
      </c>
      <c r="C6" s="39"/>
      <c r="D6" s="40"/>
      <c r="E6" s="38" t="s">
        <v>8</v>
      </c>
      <c r="F6" s="39"/>
      <c r="G6" s="40"/>
      <c r="H6" s="38" t="s">
        <v>9</v>
      </c>
      <c r="I6" s="39"/>
      <c r="J6" s="40"/>
      <c r="K6" s="3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>
      <c r="A7" s="33"/>
      <c r="B7" s="2" t="s">
        <v>10</v>
      </c>
      <c r="C7" s="2" t="s">
        <v>11</v>
      </c>
      <c r="D7" s="2" t="s">
        <v>12</v>
      </c>
      <c r="E7" s="2" t="s">
        <v>10</v>
      </c>
      <c r="F7" s="2" t="s">
        <v>11</v>
      </c>
      <c r="G7" s="2" t="s">
        <v>12</v>
      </c>
      <c r="H7" s="2" t="s">
        <v>10</v>
      </c>
      <c r="I7" s="2" t="s">
        <v>11</v>
      </c>
      <c r="J7" s="2" t="s">
        <v>12</v>
      </c>
      <c r="K7" s="2" t="s">
        <v>13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hidden="1" customHeight="1">
      <c r="A8" s="2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hidden="1" customHeight="1">
      <c r="A9" s="2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>
      <c r="A10" s="3" t="s">
        <v>14</v>
      </c>
      <c r="B10" s="4">
        <v>6</v>
      </c>
      <c r="C10" s="4">
        <v>9</v>
      </c>
      <c r="D10" s="5">
        <f t="shared" ref="D10:D21" si="0">SUM(B10:C10)</f>
        <v>15</v>
      </c>
      <c r="E10" s="4">
        <v>6</v>
      </c>
      <c r="F10" s="4">
        <v>9</v>
      </c>
      <c r="G10" s="5">
        <f t="shared" ref="G10:G21" si="1">SUM(E10:F10)</f>
        <v>15</v>
      </c>
      <c r="H10" s="4">
        <f t="shared" ref="H10:I10" si="2">B10-E10</f>
        <v>0</v>
      </c>
      <c r="I10" s="4">
        <f t="shared" si="2"/>
        <v>0</v>
      </c>
      <c r="J10" s="5">
        <f t="shared" ref="J10:J14" si="3">SUM(H10:I10)</f>
        <v>0</v>
      </c>
      <c r="K10" s="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>
      <c r="A11" s="2" t="s">
        <v>16</v>
      </c>
      <c r="B11" s="2">
        <f t="shared" ref="B11:C11" si="4">SUM(B10)</f>
        <v>6</v>
      </c>
      <c r="C11" s="2">
        <f t="shared" si="4"/>
        <v>9</v>
      </c>
      <c r="D11" s="2">
        <f t="shared" si="0"/>
        <v>15</v>
      </c>
      <c r="E11" s="2">
        <f t="shared" ref="E11:F11" si="5">SUM(E10)</f>
        <v>6</v>
      </c>
      <c r="F11" s="2">
        <f t="shared" si="5"/>
        <v>9</v>
      </c>
      <c r="G11" s="2">
        <f t="shared" si="1"/>
        <v>15</v>
      </c>
      <c r="H11" s="2">
        <f t="shared" ref="H11:I11" si="6">SUM(H10)</f>
        <v>0</v>
      </c>
      <c r="I11" s="2">
        <f t="shared" si="6"/>
        <v>0</v>
      </c>
      <c r="J11" s="2">
        <f t="shared" si="3"/>
        <v>0</v>
      </c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>
      <c r="A12" s="4" t="s">
        <v>17</v>
      </c>
      <c r="B12" s="4">
        <v>10</v>
      </c>
      <c r="C12" s="4">
        <v>10</v>
      </c>
      <c r="D12" s="5">
        <f t="shared" si="0"/>
        <v>20</v>
      </c>
      <c r="E12" s="4">
        <v>10</v>
      </c>
      <c r="F12" s="4">
        <v>10</v>
      </c>
      <c r="G12" s="5">
        <f t="shared" si="1"/>
        <v>20</v>
      </c>
      <c r="H12" s="4">
        <f t="shared" ref="H12:I12" si="7">B12-E12</f>
        <v>0</v>
      </c>
      <c r="I12" s="4">
        <f t="shared" si="7"/>
        <v>0</v>
      </c>
      <c r="J12" s="8">
        <f t="shared" si="3"/>
        <v>0</v>
      </c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>
      <c r="A13" s="4" t="s">
        <v>18</v>
      </c>
      <c r="B13" s="4">
        <v>10</v>
      </c>
      <c r="C13" s="4">
        <v>11</v>
      </c>
      <c r="D13" s="5">
        <f t="shared" si="0"/>
        <v>21</v>
      </c>
      <c r="E13" s="10">
        <v>10</v>
      </c>
      <c r="F13" s="4">
        <v>11</v>
      </c>
      <c r="G13" s="5">
        <f t="shared" si="1"/>
        <v>21</v>
      </c>
      <c r="H13" s="4">
        <f t="shared" ref="H13:I13" si="8">B13-E13</f>
        <v>0</v>
      </c>
      <c r="I13" s="4">
        <f t="shared" si="8"/>
        <v>0</v>
      </c>
      <c r="J13" s="5">
        <f t="shared" si="3"/>
        <v>0</v>
      </c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>
      <c r="A14" s="4" t="s">
        <v>19</v>
      </c>
      <c r="B14" s="4">
        <v>14</v>
      </c>
      <c r="C14" s="4">
        <v>6</v>
      </c>
      <c r="D14" s="5">
        <f t="shared" si="0"/>
        <v>20</v>
      </c>
      <c r="E14" s="10">
        <v>14</v>
      </c>
      <c r="F14" s="4">
        <v>6</v>
      </c>
      <c r="G14" s="5">
        <f t="shared" si="1"/>
        <v>20</v>
      </c>
      <c r="H14" s="4">
        <f t="shared" ref="H14:I14" si="9">B14-E14</f>
        <v>0</v>
      </c>
      <c r="I14" s="4">
        <f t="shared" si="9"/>
        <v>0</v>
      </c>
      <c r="J14" s="5">
        <f t="shared" si="3"/>
        <v>0</v>
      </c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>
      <c r="A15" s="5" t="s">
        <v>20</v>
      </c>
      <c r="B15" s="5">
        <f t="shared" ref="B15:C15" si="10">SUM(B12:B14)</f>
        <v>34</v>
      </c>
      <c r="C15" s="5">
        <f t="shared" si="10"/>
        <v>27</v>
      </c>
      <c r="D15" s="5">
        <f t="shared" si="0"/>
        <v>61</v>
      </c>
      <c r="E15" s="5">
        <f t="shared" ref="E15:F15" si="11">SUM(E12:E14)</f>
        <v>34</v>
      </c>
      <c r="F15" s="5">
        <f t="shared" si="11"/>
        <v>27</v>
      </c>
      <c r="G15" s="5">
        <f t="shared" si="1"/>
        <v>61</v>
      </c>
      <c r="H15" s="5">
        <f t="shared" ref="H15:I15" si="12">SUM(H12:H14)</f>
        <v>0</v>
      </c>
      <c r="I15" s="5">
        <f t="shared" si="12"/>
        <v>0</v>
      </c>
      <c r="J15" s="5">
        <f>SUM(H15+I15)</f>
        <v>0</v>
      </c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>
      <c r="A16" s="4" t="s">
        <v>21</v>
      </c>
      <c r="B16" s="4">
        <v>13</v>
      </c>
      <c r="C16" s="4">
        <v>8</v>
      </c>
      <c r="D16" s="5">
        <f t="shared" si="0"/>
        <v>21</v>
      </c>
      <c r="E16" s="4">
        <v>13</v>
      </c>
      <c r="F16" s="4">
        <v>8</v>
      </c>
      <c r="G16" s="5">
        <f t="shared" si="1"/>
        <v>21</v>
      </c>
      <c r="H16" s="4">
        <f t="shared" ref="H16:I16" si="13">B16-E16</f>
        <v>0</v>
      </c>
      <c r="I16" s="4">
        <f t="shared" si="13"/>
        <v>0</v>
      </c>
      <c r="J16" s="5">
        <f t="shared" ref="J16:J20" si="14">SUM(H16:I16)</f>
        <v>0</v>
      </c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>
      <c r="A17" s="4" t="s">
        <v>22</v>
      </c>
      <c r="B17" s="4">
        <v>18</v>
      </c>
      <c r="C17" s="4">
        <v>11</v>
      </c>
      <c r="D17" s="5">
        <f t="shared" si="0"/>
        <v>29</v>
      </c>
      <c r="E17" s="4">
        <v>16</v>
      </c>
      <c r="F17" s="4">
        <v>11</v>
      </c>
      <c r="G17" s="5">
        <f t="shared" si="1"/>
        <v>27</v>
      </c>
      <c r="H17" s="4">
        <f t="shared" ref="H17:I17" si="15">B17-E17</f>
        <v>2</v>
      </c>
      <c r="I17" s="4">
        <f t="shared" si="15"/>
        <v>0</v>
      </c>
      <c r="J17" s="5">
        <f t="shared" si="14"/>
        <v>2</v>
      </c>
      <c r="K17" s="6" t="s">
        <v>43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>
      <c r="A18" s="4" t="s">
        <v>23</v>
      </c>
      <c r="B18" s="4">
        <v>9</v>
      </c>
      <c r="C18" s="4">
        <v>13</v>
      </c>
      <c r="D18" s="5">
        <f t="shared" si="0"/>
        <v>22</v>
      </c>
      <c r="E18" s="4">
        <v>9</v>
      </c>
      <c r="F18" s="4">
        <v>12</v>
      </c>
      <c r="G18" s="5">
        <f t="shared" si="1"/>
        <v>21</v>
      </c>
      <c r="H18" s="4">
        <f t="shared" ref="H18:I18" si="16">B18-E18</f>
        <v>0</v>
      </c>
      <c r="I18" s="4">
        <f t="shared" si="16"/>
        <v>1</v>
      </c>
      <c r="J18" s="5">
        <f t="shared" si="14"/>
        <v>1</v>
      </c>
      <c r="K18" s="6" t="s">
        <v>42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>
      <c r="A19" s="4" t="s">
        <v>24</v>
      </c>
      <c r="B19" s="4">
        <v>12</v>
      </c>
      <c r="C19" s="4">
        <v>8</v>
      </c>
      <c r="D19" s="5">
        <f t="shared" si="0"/>
        <v>20</v>
      </c>
      <c r="E19" s="10">
        <v>12</v>
      </c>
      <c r="F19" s="4">
        <v>8</v>
      </c>
      <c r="G19" s="5">
        <f t="shared" si="1"/>
        <v>20</v>
      </c>
      <c r="H19" s="4">
        <f t="shared" ref="H19:I19" si="17">B19-E19</f>
        <v>0</v>
      </c>
      <c r="I19" s="4">
        <f t="shared" si="17"/>
        <v>0</v>
      </c>
      <c r="J19" s="5">
        <f t="shared" si="14"/>
        <v>0</v>
      </c>
      <c r="K19" s="1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>
      <c r="A20" s="4" t="s">
        <v>25</v>
      </c>
      <c r="B20" s="4">
        <v>15</v>
      </c>
      <c r="C20" s="4">
        <v>10</v>
      </c>
      <c r="D20" s="5">
        <f t="shared" si="0"/>
        <v>25</v>
      </c>
      <c r="E20" s="10">
        <v>15</v>
      </c>
      <c r="F20" s="10">
        <v>10</v>
      </c>
      <c r="G20" s="5">
        <f t="shared" si="1"/>
        <v>25</v>
      </c>
      <c r="H20" s="4">
        <f t="shared" ref="H20:I20" si="18">B20-E20</f>
        <v>0</v>
      </c>
      <c r="I20" s="4">
        <f t="shared" si="18"/>
        <v>0</v>
      </c>
      <c r="J20" s="5">
        <f t="shared" si="14"/>
        <v>0</v>
      </c>
      <c r="K20" s="12"/>
      <c r="L20" s="1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>
      <c r="A21" s="4" t="s">
        <v>26</v>
      </c>
      <c r="B21" s="4">
        <v>13</v>
      </c>
      <c r="C21" s="4">
        <v>16</v>
      </c>
      <c r="D21" s="5">
        <f t="shared" si="0"/>
        <v>29</v>
      </c>
      <c r="E21" s="4">
        <v>13</v>
      </c>
      <c r="F21" s="10">
        <v>15</v>
      </c>
      <c r="G21" s="5">
        <f t="shared" si="1"/>
        <v>28</v>
      </c>
      <c r="H21" s="4">
        <f t="shared" ref="H21:I21" si="19">B21-E21</f>
        <v>0</v>
      </c>
      <c r="I21" s="4">
        <f t="shared" si="19"/>
        <v>1</v>
      </c>
      <c r="J21" s="5">
        <f>SUM(H21+I21)</f>
        <v>1</v>
      </c>
      <c r="K21" s="12" t="s">
        <v>41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5" t="s">
        <v>27</v>
      </c>
      <c r="B22" s="5">
        <f t="shared" ref="B22:J22" si="20">SUM(B16:B21)</f>
        <v>80</v>
      </c>
      <c r="C22" s="5">
        <f t="shared" si="20"/>
        <v>66</v>
      </c>
      <c r="D22" s="5">
        <f t="shared" si="20"/>
        <v>146</v>
      </c>
      <c r="E22" s="5">
        <f t="shared" si="20"/>
        <v>78</v>
      </c>
      <c r="F22" s="5">
        <f t="shared" si="20"/>
        <v>64</v>
      </c>
      <c r="G22" s="5">
        <f t="shared" si="20"/>
        <v>142</v>
      </c>
      <c r="H22" s="5">
        <f t="shared" si="20"/>
        <v>2</v>
      </c>
      <c r="I22" s="5">
        <f t="shared" si="20"/>
        <v>2</v>
      </c>
      <c r="J22" s="5">
        <f t="shared" si="20"/>
        <v>4</v>
      </c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>
      <c r="A23" s="4" t="s">
        <v>28</v>
      </c>
      <c r="B23" s="4">
        <v>11</v>
      </c>
      <c r="C23" s="4">
        <v>3</v>
      </c>
      <c r="D23" s="5">
        <f t="shared" ref="D23:D25" si="21">SUM(B23:C23)</f>
        <v>14</v>
      </c>
      <c r="E23" s="10">
        <v>11</v>
      </c>
      <c r="F23" s="10">
        <v>3</v>
      </c>
      <c r="G23" s="5">
        <f t="shared" ref="G23:G25" si="22">SUM(E23:F23)</f>
        <v>14</v>
      </c>
      <c r="H23" s="4">
        <f t="shared" ref="H23:I23" si="23">B23-E23</f>
        <v>0</v>
      </c>
      <c r="I23" s="4">
        <f t="shared" si="23"/>
        <v>0</v>
      </c>
      <c r="J23" s="8">
        <f t="shared" ref="J23:J26" si="24">SUM(H23:I23)</f>
        <v>0</v>
      </c>
      <c r="K23" s="1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>
      <c r="A24" s="4" t="s">
        <v>29</v>
      </c>
      <c r="B24" s="4">
        <v>11</v>
      </c>
      <c r="C24" s="4">
        <v>9</v>
      </c>
      <c r="D24" s="5">
        <f t="shared" si="21"/>
        <v>20</v>
      </c>
      <c r="E24" s="10">
        <v>9</v>
      </c>
      <c r="F24" s="10">
        <v>9</v>
      </c>
      <c r="G24" s="5">
        <f t="shared" si="22"/>
        <v>18</v>
      </c>
      <c r="H24" s="4">
        <f t="shared" ref="H24:I24" si="25">B24-E24</f>
        <v>2</v>
      </c>
      <c r="I24" s="4">
        <f t="shared" si="25"/>
        <v>0</v>
      </c>
      <c r="J24" s="8">
        <f t="shared" si="24"/>
        <v>2</v>
      </c>
      <c r="K24" s="12" t="s">
        <v>37</v>
      </c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>
      <c r="A25" s="4" t="s">
        <v>30</v>
      </c>
      <c r="B25" s="4">
        <v>11</v>
      </c>
      <c r="C25" s="4">
        <v>10</v>
      </c>
      <c r="D25" s="5">
        <f t="shared" si="21"/>
        <v>21</v>
      </c>
      <c r="E25" s="10">
        <v>11</v>
      </c>
      <c r="F25" s="10">
        <v>9</v>
      </c>
      <c r="G25" s="5">
        <f t="shared" si="22"/>
        <v>20</v>
      </c>
      <c r="H25" s="4">
        <f t="shared" ref="H25:I25" si="26">B25-E25</f>
        <v>0</v>
      </c>
      <c r="I25" s="4">
        <f t="shared" si="26"/>
        <v>1</v>
      </c>
      <c r="J25" s="8">
        <f t="shared" si="24"/>
        <v>1</v>
      </c>
      <c r="K25" s="12" t="s">
        <v>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17" t="s">
        <v>31</v>
      </c>
      <c r="B26" s="5">
        <f>SUM(B23+B24+B25)</f>
        <v>33</v>
      </c>
      <c r="C26" s="5">
        <f>SUM(C23++C24+C25)</f>
        <v>22</v>
      </c>
      <c r="D26" s="5">
        <f>SUM(D23+D24+D25)</f>
        <v>55</v>
      </c>
      <c r="E26" s="5">
        <f>E23+E24+E25</f>
        <v>31</v>
      </c>
      <c r="F26" s="5">
        <f t="shared" ref="F26:I26" si="27">SUM(F23+F24+F25)</f>
        <v>21</v>
      </c>
      <c r="G26" s="5">
        <f t="shared" si="27"/>
        <v>52</v>
      </c>
      <c r="H26" s="5">
        <f t="shared" si="27"/>
        <v>2</v>
      </c>
      <c r="I26" s="5">
        <f t="shared" si="27"/>
        <v>1</v>
      </c>
      <c r="J26" s="5">
        <f t="shared" si="24"/>
        <v>3</v>
      </c>
      <c r="K26" s="1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5" t="s">
        <v>32</v>
      </c>
      <c r="B27" s="5">
        <f t="shared" ref="B27:F27" si="28">B11+B15+B22+B26</f>
        <v>153</v>
      </c>
      <c r="C27" s="5">
        <f t="shared" si="28"/>
        <v>124</v>
      </c>
      <c r="D27" s="5">
        <f t="shared" si="28"/>
        <v>277</v>
      </c>
      <c r="E27" s="5">
        <f t="shared" si="28"/>
        <v>149</v>
      </c>
      <c r="F27" s="5">
        <f t="shared" si="28"/>
        <v>121</v>
      </c>
      <c r="G27" s="5">
        <f>G26+G22+G15+G11</f>
        <v>270</v>
      </c>
      <c r="H27" s="5">
        <f t="shared" ref="H27:J27" si="29">H11+H15+H22+H26</f>
        <v>4</v>
      </c>
      <c r="I27" s="5">
        <f t="shared" si="29"/>
        <v>3</v>
      </c>
      <c r="J27" s="5">
        <f t="shared" si="29"/>
        <v>7</v>
      </c>
      <c r="K27" s="1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customHeight="1">
      <c r="A28" s="20" t="s">
        <v>33</v>
      </c>
      <c r="B28" s="42"/>
      <c r="C28" s="35"/>
      <c r="D28" s="35"/>
      <c r="E28" s="35"/>
      <c r="F28" s="35"/>
      <c r="G28" s="35"/>
      <c r="H28" s="35"/>
      <c r="I28" s="35"/>
      <c r="J28" s="35"/>
      <c r="K28" s="3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22"/>
      <c r="B30" s="22"/>
      <c r="C30" s="22"/>
      <c r="D30" s="22"/>
      <c r="E30" s="22"/>
      <c r="F30" s="22"/>
      <c r="G30" s="43" t="s">
        <v>34</v>
      </c>
      <c r="H30" s="29"/>
      <c r="I30" s="29"/>
      <c r="J30" s="29"/>
      <c r="K30" s="2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22"/>
      <c r="B31" s="22"/>
      <c r="C31" s="22"/>
      <c r="D31" s="22"/>
      <c r="E31" s="22"/>
      <c r="F31" s="22"/>
      <c r="G31" s="41" t="s">
        <v>40</v>
      </c>
      <c r="H31" s="29"/>
      <c r="I31" s="29"/>
      <c r="J31" s="29"/>
      <c r="K31" s="2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22"/>
      <c r="B32" s="22"/>
      <c r="C32" s="22"/>
      <c r="D32" s="22"/>
      <c r="E32" s="22"/>
      <c r="F32" s="22"/>
      <c r="G32" s="43"/>
      <c r="H32" s="29"/>
      <c r="I32" s="29"/>
      <c r="J32" s="29"/>
      <c r="K32" s="2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>
      <c r="A33" s="23"/>
      <c r="B33" s="23"/>
      <c r="C33" s="23"/>
      <c r="D33" s="23"/>
      <c r="E33" s="23"/>
      <c r="F33" s="23"/>
      <c r="G33" s="43" t="s">
        <v>35</v>
      </c>
      <c r="H33" s="29"/>
      <c r="I33" s="29"/>
      <c r="J33" s="29"/>
      <c r="K33" s="29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21.75" customHeight="1">
      <c r="A34" s="23"/>
      <c r="B34" s="23"/>
      <c r="C34" s="23"/>
      <c r="D34" s="23"/>
      <c r="E34" s="23"/>
      <c r="F34" s="23"/>
      <c r="G34" s="41" t="s">
        <v>36</v>
      </c>
      <c r="H34" s="29"/>
      <c r="I34" s="29"/>
      <c r="J34" s="29"/>
      <c r="K34" s="29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21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21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21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21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21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21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21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26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26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26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26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26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26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26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26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26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26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26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26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26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26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26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26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26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26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26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26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26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26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26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26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26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26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26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26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26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26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26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26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26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26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26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26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26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26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26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26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26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26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26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6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26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6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6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26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26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26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26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26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26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26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6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26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26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6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6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6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26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26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26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26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6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6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6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6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6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6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6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6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6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6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6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6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6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6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6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26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6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6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6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6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6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6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6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6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26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26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26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6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6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26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26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26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26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26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26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6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26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26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26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26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26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26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26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26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26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26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26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26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26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26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26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26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26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26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26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26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26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26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26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26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26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26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26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26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26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26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26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26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26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26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26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26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26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26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26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26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26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26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6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6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6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26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26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26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26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26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26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26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26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26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26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26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26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26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26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26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26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26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26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26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26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26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26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26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26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26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26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26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26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26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26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26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26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26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26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26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26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26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26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26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26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26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26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26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26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26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26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26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26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28" xr:uid="{00000000-0009-0000-0000-000000000000}"/>
  <mergeCells count="18">
    <mergeCell ref="G34:K34"/>
    <mergeCell ref="B28:K28"/>
    <mergeCell ref="G30:K30"/>
    <mergeCell ref="G31:K31"/>
    <mergeCell ref="G32:K32"/>
    <mergeCell ref="G33:K33"/>
    <mergeCell ref="A1:K1"/>
    <mergeCell ref="A2:K2"/>
    <mergeCell ref="A3:K3"/>
    <mergeCell ref="A4:K4"/>
    <mergeCell ref="A5:A7"/>
    <mergeCell ref="B5:D5"/>
    <mergeCell ref="E5:G5"/>
    <mergeCell ref="H5:J5"/>
    <mergeCell ref="K5:K6"/>
    <mergeCell ref="H6:J6"/>
    <mergeCell ref="B6:D6"/>
    <mergeCell ref="E6:G6"/>
  </mergeCells>
  <printOptions horizontalCentered="1"/>
  <pageMargins left="0.39370078740157483" right="0.15748031496062992" top="0" bottom="0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สถิติ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 Windows Se7en V1</dc:creator>
  <cp:lastModifiedBy>Lenovo</cp:lastModifiedBy>
  <dcterms:created xsi:type="dcterms:W3CDTF">2015-04-01T00:59:11Z</dcterms:created>
  <dcterms:modified xsi:type="dcterms:W3CDTF">2026-10-12T07:59:41Z</dcterms:modified>
</cp:coreProperties>
</file>